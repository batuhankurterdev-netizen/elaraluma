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" state="visible" r:id="rId4"/>
  </sheets>
  <calcPr calcId="171027"/>
</workbook>
</file>

<file path=xl/sharedStrings.xml><?xml version="1.0" encoding="utf-8"?>
<sst xmlns="http://schemas.openxmlformats.org/spreadsheetml/2006/main" count="54" uniqueCount="17">
  <si>
    <t>Dönem</t>
  </si>
  <si>
    <t>Net Satış</t>
  </si>
  <si>
    <t>Satışların Maliyeti</t>
  </si>
  <si>
    <t>Brüt Kar</t>
  </si>
  <si>
    <t>Faaliyet Gideri</t>
  </si>
  <si>
    <t>EFK</t>
  </si>
  <si>
    <t>Faaliyet Kar Marjı</t>
  </si>
  <si>
    <t>Vergi</t>
  </si>
  <si>
    <t>EFK (1-T)</t>
  </si>
  <si>
    <t>Amortisman</t>
  </si>
  <si>
    <t>Yatırım</t>
  </si>
  <si>
    <t>Net İşletme</t>
  </si>
  <si>
    <t>İskonto Faktörü</t>
  </si>
  <si>
    <t>FSNA</t>
  </si>
  <si>
    <t>FSNA Bugün</t>
  </si>
  <si>
    <t/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</si>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</sst>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2" width="15" customWidth="1"/>
    <col min="3" max="3" width="24" customWidth="1"/>
    <col min="4" max="4" width="15" customWidth="1"/>
    <col min="5" max="5" width="20" customWidth="1"/>
    <col min="6" max="6" width="15" customWidth="1"/>
    <col min="7" max="7" width="23" customWidth="1"/>
    <col min="8" max="11" width="15" customWidth="1"/>
    <col min="12" max="12" width="16" customWidth="1"/>
    <col min="13" max="13" width="20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2015</v>
      </c>
      <c r="B2" s="2">
        <v>12.507</v>
      </c>
      <c r="C2" s="2">
        <v>10.284</v>
      </c>
      <c r="D2" s="2">
        <f>B2-C2</f>
      </c>
      <c r="E2" s="2">
        <v>2.241</v>
      </c>
      <c r="F2" s="2">
        <v>560</v>
      </c>
      <c r="G2" s="2">
        <v>0.04</v>
      </c>
      <c r="H2" t="s">
        <v>15</v>
      </c>
      <c r="I2" s="2">
        <v>448</v>
      </c>
      <c r="J2" s="2">
        <v>350</v>
      </c>
      <c r="K2" s="2">
        <v>422</v>
      </c>
      <c r="L2" s="2">
        <v>1.092</v>
      </c>
      <c r="M2" s="2">
        <v>2</v>
      </c>
      <c r="N2" s="2">
        <v>4.468</v>
      </c>
      <c r="O2" s="2">
        <v>4.033</v>
      </c>
    </row>
    <row r="3" spans="1:15" x14ac:dyDescent="0.25">
      <c r="A3" s="2">
        <v>2016</v>
      </c>
      <c r="B3" s="2">
        <v>14.008</v>
      </c>
      <c r="C3" s="2">
        <v>11.207</v>
      </c>
      <c r="D3" s="2">
        <f>B3-C3</f>
      </c>
      <c r="E3" s="2">
        <v>2.802</v>
      </c>
      <c r="F3" s="2">
        <v>787</v>
      </c>
      <c r="G3" s="2">
        <v>0.04</v>
      </c>
      <c r="H3" t="s">
        <v>15</v>
      </c>
      <c r="I3" s="2">
        <v>502</v>
      </c>
      <c r="J3" s="2">
        <v>492</v>
      </c>
      <c r="K3" s="2">
        <v>473</v>
      </c>
      <c r="L3" s="2">
        <v>1.471</v>
      </c>
      <c r="M3" s="2">
        <v>41</v>
      </c>
      <c r="N3" s="2">
        <v>2</v>
      </c>
      <c r="O3" s="2">
        <v>1.328</v>
      </c>
    </row>
    <row r="4" spans="1:15" x14ac:dyDescent="0.25">
      <c r="A4" s="2">
        <v>2017</v>
      </c>
      <c r="B4" s="2">
        <v>15.689</v>
      </c>
      <c r="C4" s="2">
        <v>12.551</v>
      </c>
      <c r="D4" s="2">
        <f>B4-C4</f>
      </c>
      <c r="E4" s="2">
        <v>3.936</v>
      </c>
      <c r="F4" s="2">
        <v>882</v>
      </c>
      <c r="G4" s="2">
        <v>0.04</v>
      </c>
      <c r="H4" t="s">
        <v>15</v>
      </c>
      <c r="I4" s="2">
        <v>562</v>
      </c>
      <c r="J4" s="2">
        <v>551</v>
      </c>
      <c r="K4" s="2">
        <v>590</v>
      </c>
      <c r="L4" s="2">
        <v>1.187</v>
      </c>
      <c r="M4" s="2">
        <v>62</v>
      </c>
      <c r="N4" s="2">
        <v>41</v>
      </c>
      <c r="O4" s="2">
        <v>1.199</v>
      </c>
    </row>
    <row r="5" spans="1:15" x14ac:dyDescent="0.25">
      <c r="A5" s="2">
        <v>2018</v>
      </c>
      <c r="B5" s="2">
        <v>17.572</v>
      </c>
      <c r="C5" s="2">
        <v>14.058</v>
      </c>
      <c r="D5" s="2">
        <f>B5-C5</f>
      </c>
      <c r="E5" s="2">
        <v>4.849</v>
      </c>
      <c r="F5" s="2">
        <v>970</v>
      </c>
      <c r="G5" s="2">
        <v>0.04</v>
      </c>
      <c r="H5" t="s">
        <v>15</v>
      </c>
      <c r="I5" s="2">
        <v>776</v>
      </c>
      <c r="J5" s="2">
        <v>606</v>
      </c>
      <c r="K5" s="2">
        <v>628</v>
      </c>
      <c r="L5" s="2">
        <v>2.267</v>
      </c>
      <c r="M5" s="2">
        <v>111</v>
      </c>
      <c r="N5" s="2">
        <v>62</v>
      </c>
      <c r="O5" s="2">
        <v>54.645</v>
      </c>
    </row>
    <row r="6" spans="1:15" x14ac:dyDescent="0.25">
      <c r="A6" s="2">
        <v>2019</v>
      </c>
      <c r="B6" s="2">
        <v>19.681</v>
      </c>
      <c r="C6" s="2">
        <v>15.745</v>
      </c>
      <c r="D6" s="2">
        <f>B6-C6</f>
      </c>
      <c r="E6" s="2">
        <v>5.334</v>
      </c>
      <c r="F6" s="2">
        <v>1.067</v>
      </c>
      <c r="G6" s="2">
        <v>0.04</v>
      </c>
      <c r="H6" t="s">
        <v>15</v>
      </c>
      <c r="I6" s="2">
        <v>853</v>
      </c>
      <c r="J6" s="2">
        <v>667</v>
      </c>
      <c r="K6" s="2">
        <v>730</v>
      </c>
      <c r="L6" s="2">
        <v>2.267</v>
      </c>
      <c r="M6" s="2">
        <v>241</v>
      </c>
      <c r="N6" s="2">
        <v>111</v>
      </c>
      <c r="O6" s="2">
        <v>106.249</v>
      </c>
    </row>
    <row r="7" spans="1:15" x14ac:dyDescent="0.25">
      <c r="A7" s="2">
        <v>2020</v>
      </c>
      <c r="B7" s="2">
        <v>22.042</v>
      </c>
      <c r="C7" s="2">
        <v>17.634</v>
      </c>
      <c r="D7" s="2">
        <f>B7-C7</f>
      </c>
      <c r="E7" s="2">
        <v>3.527</v>
      </c>
      <c r="F7" s="2">
        <v>1.152</v>
      </c>
      <c r="G7" s="2">
        <v>0.04</v>
      </c>
      <c r="H7" t="s">
        <v>15</v>
      </c>
      <c r="I7" s="2">
        <v>922</v>
      </c>
      <c r="J7" s="2">
        <v>720</v>
      </c>
      <c r="K7" s="2">
        <v>918</v>
      </c>
      <c r="L7" s="2">
        <v>3.879</v>
      </c>
      <c r="M7" s="2">
        <v>267</v>
      </c>
      <c r="N7" s="2">
        <v>241</v>
      </c>
      <c r="O7" s="2">
        <v>103.87</v>
      </c>
    </row>
    <row r="8" spans="1:15" x14ac:dyDescent="0.25">
      <c r="A8" s="2">
        <v>2021</v>
      </c>
      <c r="B8" s="2">
        <v>24.247</v>
      </c>
      <c r="C8" s="2">
        <v>19.397</v>
      </c>
      <c r="D8" s="2">
        <f>B8-C8</f>
      </c>
      <c r="E8" s="2">
        <v>4.267</v>
      </c>
      <c r="F8" s="2">
        <v>1.212</v>
      </c>
      <c r="G8" s="2">
        <v>0.04</v>
      </c>
      <c r="H8" t="s">
        <v>15</v>
      </c>
      <c r="I8" s="2">
        <v>996</v>
      </c>
      <c r="J8" s="2">
        <v>778</v>
      </c>
      <c r="K8" s="2">
        <v>913</v>
      </c>
      <c r="L8" s="2">
        <v>3.376</v>
      </c>
      <c r="M8" s="2">
        <v>261</v>
      </c>
      <c r="N8" s="2">
        <v>111</v>
      </c>
      <c r="O8" s="2">
        <v>100.947</v>
      </c>
    </row>
    <row r="9" spans="1:15" x14ac:dyDescent="0.25">
      <c r="A9" s="2">
        <v>2022</v>
      </c>
      <c r="B9" s="2">
        <v>23.034</v>
      </c>
      <c r="C9" s="2">
        <v>18.1</v>
      </c>
      <c r="D9" s="2">
        <f>B9-C9</f>
      </c>
      <c r="E9" s="2">
        <v>4.69</v>
      </c>
      <c r="F9" s="2">
        <v>1.244</v>
      </c>
      <c r="G9" s="2">
        <v>0.04</v>
      </c>
      <c r="H9" t="s">
        <v>15</v>
      </c>
      <c r="I9" s="2">
        <v>996</v>
      </c>
      <c r="J9" s="2">
        <v>840</v>
      </c>
      <c r="K9" s="2">
        <v>1.012</v>
      </c>
      <c r="L9" s="2">
        <v>2.673</v>
      </c>
      <c r="M9" s="2">
        <v>281</v>
      </c>
      <c r="N9" s="2">
        <v>241</v>
      </c>
      <c r="O9" s="2">
        <v>101.947</v>
      </c>
    </row>
    <row r="10" spans="1:15" x14ac:dyDescent="0.25">
      <c r="A10" s="2">
        <v>2023</v>
      </c>
      <c r="B10" s="2">
        <v>28.805</v>
      </c>
      <c r="C10" s="2">
        <v>22.091</v>
      </c>
      <c r="D10" s="2">
        <f>B10-C10</f>
      </c>
      <c r="E10" s="2">
        <v>4.978</v>
      </c>
      <c r="F10" s="2">
        <f>D10/E10</f>
      </c>
      <c r="G10" s="2">
        <v>0.04</v>
      </c>
      <c r="H10" t="s">
        <v>15</v>
      </c>
      <c r="I10" s="2">
        <v>669</v>
      </c>
      <c r="J10" s="2">
        <v>842</v>
      </c>
      <c r="K10" s="2">
        <v>1.012</v>
      </c>
      <c r="L10" s="2">
        <v>3.998</v>
      </c>
      <c r="M10" s="2">
        <v>2.78</v>
      </c>
      <c r="N10" s="2">
        <v>241</v>
      </c>
      <c r="O10" s="2">
        <v>100.947</v>
      </c>
    </row>
    <row r="11" spans="1:15" x14ac:dyDescent="0.25">
      <c r="A11" s="2">
        <v>2024</v>
      </c>
      <c r="B11" s="2">
        <v>31.109</v>
      </c>
      <c r="C11" s="2">
        <v>24.98</v>
      </c>
      <c r="D11" s="2">
        <f>B11-C11</f>
      </c>
      <c r="E11" s="2">
        <v>5.376</v>
      </c>
      <c r="F11" s="2">
        <v>1.344</v>
      </c>
      <c r="G11" s="2">
        <v>0.04</v>
      </c>
      <c r="H11" t="s">
        <v>15</v>
      </c>
      <c r="I11" s="2">
        <v>996</v>
      </c>
      <c r="J11" s="2">
        <v>840</v>
      </c>
      <c r="K11" s="2">
        <v>1.012</v>
      </c>
      <c r="L11" s="2">
        <v>3.998</v>
      </c>
      <c r="M11" s="2">
        <v>271</v>
      </c>
      <c r="N11" s="2">
        <v>997</v>
      </c>
      <c r="O11" t="s">
        <v>15</v>
      </c>
    </row>
    <row r="12" spans="1:15" x14ac:dyDescent="0.25">
      <c r="A12" s="2">
        <v>2025</v>
      </c>
      <c r="B12" s="2">
        <v>33.598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  <c r="O12" t="s">
        <v>15</v>
      </c>
    </row>
    <row r="13" spans="1:15" x14ac:dyDescent="0.25">
      <c r="A13" t="s">
        <v>16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2026-02-12T14:38:09Z</dcterms:created>
  <dcterms:modified xsi:type="dcterms:W3CDTF">2026-02-12T14:38:09Z</dcterms:modified>
</cp:coreProperties>
</file>